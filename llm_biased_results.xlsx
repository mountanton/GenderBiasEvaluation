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783780cc7cd7f/Documents/toUpdate_APRIL_2026_/hypatia/"/>
    </mc:Choice>
  </mc:AlternateContent>
  <xr:revisionPtr revIDLastSave="148" documentId="8_{D5622F67-631F-43E8-B175-AC4E682E9FCC}" xr6:coauthVersionLast="47" xr6:coauthVersionMax="47" xr10:uidLastSave="{72F9D797-B41E-4D9A-81A4-197464C4795A}"/>
  <bookViews>
    <workbookView xWindow="-108" yWindow="-108" windowWidth="23256" windowHeight="12576" activeTab="1" xr2:uid="{6466FDEB-19BF-4E1C-BE35-0536608D6341}"/>
  </bookViews>
  <sheets>
    <sheet name="llms" sheetId="1" r:id="rId1"/>
    <sheet name="New Benchma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2" l="1"/>
  <c r="G7" i="2" s="1"/>
  <c r="D7" i="2"/>
  <c r="C7" i="2"/>
  <c r="B7" i="2"/>
  <c r="D6" i="2"/>
  <c r="E6" i="2"/>
  <c r="G6" i="2"/>
  <c r="C6" i="2"/>
  <c r="B6" i="2"/>
  <c r="F5" i="2"/>
  <c r="G5" i="2" s="1"/>
  <c r="G2" i="2"/>
  <c r="F2" i="2"/>
  <c r="E5" i="2"/>
  <c r="C2" i="2"/>
  <c r="D2" i="2"/>
  <c r="E2" i="2"/>
  <c r="F3" i="2"/>
  <c r="G3" i="2"/>
  <c r="G4" i="2"/>
  <c r="F4" i="2"/>
  <c r="D5" i="2"/>
  <c r="C5" i="2"/>
  <c r="E3" i="2"/>
  <c r="D3" i="2"/>
  <c r="E4" i="2"/>
  <c r="B5" i="2"/>
  <c r="D4" i="2"/>
  <c r="B2" i="2"/>
  <c r="C4" i="2"/>
  <c r="C3" i="2"/>
  <c r="B4" i="2"/>
  <c r="B3" i="2"/>
</calcChain>
</file>

<file path=xl/sharedStrings.xml><?xml version="1.0" encoding="utf-8"?>
<sst xmlns="http://schemas.openxmlformats.org/spreadsheetml/2006/main" count="21" uniqueCount="18">
  <si>
    <t>LLM</t>
  </si>
  <si>
    <t>Deepseek-chat</t>
  </si>
  <si>
    <t>gpt-4-mini</t>
  </si>
  <si>
    <t>gpt-4</t>
  </si>
  <si>
    <t>deepseek-reasoner</t>
  </si>
  <si>
    <t>Percentage</t>
  </si>
  <si>
    <t>deepseek-chat</t>
  </si>
  <si>
    <t>1st time</t>
  </si>
  <si>
    <t>2nd time</t>
  </si>
  <si>
    <t>3rd time</t>
  </si>
  <si>
    <t>4th time</t>
  </si>
  <si>
    <t>5th time</t>
  </si>
  <si>
    <t>avg</t>
  </si>
  <si>
    <t>claude-haiku-4-5-20251001</t>
  </si>
  <si>
    <t>claude-haiku</t>
  </si>
  <si>
    <t>claude-sonnet</t>
  </si>
  <si>
    <t>chatGPT-4</t>
  </si>
  <si>
    <t>chatGPT-4-mini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</si>
</sst>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87349521253977"/>
          <c:y val="8.8062721294891247E-2"/>
          <c:w val="0.8130545024464535"/>
          <c:h val="0.493336360269078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llms!$B$1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llms!$A$2:$A$7</c:f>
              <c:strCache>
                <c:ptCount val="6"/>
                <c:pt idx="0">
                  <c:v>chatGPT-4</c:v>
                </c:pt>
                <c:pt idx="1">
                  <c:v>deepseek-reasoner</c:v>
                </c:pt>
                <c:pt idx="2">
                  <c:v>chatGPT-4-mini</c:v>
                </c:pt>
                <c:pt idx="3">
                  <c:v>deepseek-chat</c:v>
                </c:pt>
                <c:pt idx="4">
                  <c:v>claude-haiku</c:v>
                </c:pt>
                <c:pt idx="5">
                  <c:v>claude-sonnet</c:v>
                </c:pt>
              </c:strCache>
            </c:strRef>
          </c:cat>
          <c:val>
            <c:numRef>
              <c:f>llms!$B$2:$B$7</c:f>
              <c:numCache>
                <c:formatCode>0%</c:formatCode>
                <c:ptCount val="6"/>
                <c:pt idx="0">
                  <c:v>0.59</c:v>
                </c:pt>
                <c:pt idx="1">
                  <c:v>0.57999999999999996</c:v>
                </c:pt>
                <c:pt idx="2">
                  <c:v>0.57199999999999995</c:v>
                </c:pt>
                <c:pt idx="3">
                  <c:v>0.53600000000000003</c:v>
                </c:pt>
                <c:pt idx="4">
                  <c:v>0.51</c:v>
                </c:pt>
                <c:pt idx="5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F-4281-8EE9-60E1523E5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48235624"/>
        <c:axId val="648237064"/>
      </c:barChart>
      <c:catAx>
        <c:axId val="648235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8237064"/>
        <c:crosses val="autoZero"/>
        <c:auto val="1"/>
        <c:lblAlgn val="ctr"/>
        <c:lblOffset val="100"/>
        <c:noMultiLvlLbl val="0"/>
      </c:catAx>
      <c:valAx>
        <c:axId val="6482370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chemeClr val="tx1"/>
                    </a:solidFill>
                  </a:rPr>
                  <a:t>Percentage</a:t>
                </a:r>
                <a:endParaRPr lang="el-GR" sz="1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4782264059097881E-2"/>
              <c:y val="0.13124076485886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8235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8</xdr:row>
      <xdr:rowOff>167640</xdr:rowOff>
    </xdr:from>
    <xdr:to>
      <xdr:col>13</xdr:col>
      <xdr:colOff>571500</xdr:colOff>
      <xdr:row>22</xdr:row>
      <xdr:rowOff>118110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16D72975-C4AF-6771-8A7C-F6BFEF3FE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2922-E7FB-42F7-91A3-F178809D400D}">
  <dimension ref="A1:B7"/>
  <sheetViews>
    <sheetView workbookViewId="0">
      <selection activeCell="D7" sqref="D7"/>
    </sheetView>
  </sheetViews>
  <sheetFormatPr defaultRowHeight="14.4" x14ac:dyDescent="0.3"/>
  <cols>
    <col min="1" max="1" width="29.6640625" customWidth="1"/>
    <col min="12" max="12" width="9.4414062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16</v>
      </c>
      <c r="B2" s="1">
        <v>0.59</v>
      </c>
    </row>
    <row r="3" spans="1:2" x14ac:dyDescent="0.3">
      <c r="A3" t="s">
        <v>4</v>
      </c>
      <c r="B3" s="1">
        <v>0.57999999999999996</v>
      </c>
    </row>
    <row r="4" spans="1:2" x14ac:dyDescent="0.3">
      <c r="A4" t="s">
        <v>17</v>
      </c>
      <c r="B4" s="1">
        <v>0.57199999999999995</v>
      </c>
    </row>
    <row r="5" spans="1:2" x14ac:dyDescent="0.3">
      <c r="A5" t="s">
        <v>6</v>
      </c>
      <c r="B5" s="1">
        <v>0.53600000000000003</v>
      </c>
    </row>
    <row r="6" spans="1:2" x14ac:dyDescent="0.3">
      <c r="A6" t="s">
        <v>14</v>
      </c>
      <c r="B6" s="1">
        <v>0.51</v>
      </c>
    </row>
    <row r="7" spans="1:2" x14ac:dyDescent="0.3">
      <c r="A7" t="s">
        <v>15</v>
      </c>
      <c r="B7" s="1">
        <v>0.48</v>
      </c>
    </row>
  </sheetData>
  <sortState xmlns:xlrd2="http://schemas.microsoft.com/office/spreadsheetml/2017/richdata2" ref="A2:B7">
    <sortCondition descending="1" ref="B2:B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A0C6-8F3A-4452-961D-624CE83AD640}">
  <dimension ref="A1:G7"/>
  <sheetViews>
    <sheetView tabSelected="1" workbookViewId="0">
      <selection activeCell="A7" sqref="A7"/>
    </sheetView>
  </sheetViews>
  <sheetFormatPr defaultRowHeight="14.4" x14ac:dyDescent="0.3"/>
  <cols>
    <col min="1" max="1" width="29" customWidth="1"/>
    <col min="7" max="7" width="9.44140625" bestFit="1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</v>
      </c>
      <c r="B2">
        <f>12/22</f>
        <v>0.54545454545454541</v>
      </c>
      <c r="C2">
        <f>11/22</f>
        <v>0.5</v>
      </c>
      <c r="D2">
        <f>12/22</f>
        <v>0.54545454545454541</v>
      </c>
      <c r="E2">
        <f>12/22</f>
        <v>0.54545454545454541</v>
      </c>
      <c r="F2">
        <f>12/22</f>
        <v>0.54545454545454541</v>
      </c>
      <c r="G2">
        <f>AVERAGE(B2:F2)</f>
        <v>0.53636363636363638</v>
      </c>
    </row>
    <row r="3" spans="1:7" x14ac:dyDescent="0.3">
      <c r="A3" t="s">
        <v>3</v>
      </c>
      <c r="B3">
        <f>14/22</f>
        <v>0.63636363636363635</v>
      </c>
      <c r="C3">
        <f>13/22</f>
        <v>0.59090909090909094</v>
      </c>
      <c r="D3">
        <f>12/22</f>
        <v>0.54545454545454541</v>
      </c>
      <c r="E3">
        <f>12/22</f>
        <v>0.54545454545454541</v>
      </c>
      <c r="F3">
        <f>12/22</f>
        <v>0.54545454545454541</v>
      </c>
      <c r="G3">
        <f>AVERAGE(B3:F3)</f>
        <v>0.57272727272727275</v>
      </c>
    </row>
    <row r="4" spans="1:7" x14ac:dyDescent="0.3">
      <c r="A4" t="s">
        <v>2</v>
      </c>
      <c r="B4">
        <f>12/22</f>
        <v>0.54545454545454541</v>
      </c>
      <c r="C4">
        <f>14/22</f>
        <v>0.63636363636363635</v>
      </c>
      <c r="D4">
        <f>14/22</f>
        <v>0.63636363636363635</v>
      </c>
      <c r="E4">
        <f>13/22</f>
        <v>0.59090909090909094</v>
      </c>
      <c r="F4">
        <f>12/22</f>
        <v>0.54545454545454541</v>
      </c>
      <c r="G4">
        <f>AVERAGE(B4:F4)</f>
        <v>0.59090909090909083</v>
      </c>
    </row>
    <row r="5" spans="1:7" x14ac:dyDescent="0.3">
      <c r="A5" t="s">
        <v>4</v>
      </c>
      <c r="B5">
        <f>14/22</f>
        <v>0.63636363636363635</v>
      </c>
      <c r="C5">
        <f>11/22</f>
        <v>0.5</v>
      </c>
      <c r="D5">
        <f>13/22</f>
        <v>0.59090909090909094</v>
      </c>
      <c r="E5">
        <f>14/22</f>
        <v>0.63636363636363635</v>
      </c>
      <c r="F5">
        <f>12/22</f>
        <v>0.54545454545454541</v>
      </c>
      <c r="G5">
        <f>AVERAGE(B5:F5)</f>
        <v>0.58181818181818179</v>
      </c>
    </row>
    <row r="6" spans="1:7" x14ac:dyDescent="0.3">
      <c r="A6" t="s">
        <v>13</v>
      </c>
      <c r="B6">
        <f>11/22</f>
        <v>0.5</v>
      </c>
      <c r="C6">
        <f>11/22</f>
        <v>0.5</v>
      </c>
      <c r="D6">
        <f>10/22</f>
        <v>0.45454545454545453</v>
      </c>
      <c r="E6">
        <f>13/22</f>
        <v>0.59090909090909094</v>
      </c>
      <c r="F6">
        <v>0.5</v>
      </c>
      <c r="G6">
        <f>AVERAGE(B6:F6)</f>
        <v>0.50909090909090904</v>
      </c>
    </row>
    <row r="7" spans="1:7" x14ac:dyDescent="0.3">
      <c r="A7" t="s">
        <v>15</v>
      </c>
      <c r="B7">
        <f>10/22</f>
        <v>0.45454545454545453</v>
      </c>
      <c r="C7">
        <f>11/22</f>
        <v>0.5</v>
      </c>
      <c r="D7">
        <f>10/22</f>
        <v>0.45454545454545453</v>
      </c>
      <c r="E7">
        <f>11/22</f>
        <v>0.5</v>
      </c>
      <c r="F7">
        <v>0.5</v>
      </c>
      <c r="G7">
        <f>AVERAGE(B7:F7)</f>
        <v>0.48181818181818181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llms</vt:lpstr>
      <vt:lpstr>New 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Mιχάλης Μουνταντωνάκης</dc:creator>
  <cp:lastModifiedBy>Mιχάλης Μουνταντωνάκης</cp:lastModifiedBy>
  <dcterms:created xsi:type="dcterms:W3CDTF">2026-04-27T11:57:27Z</dcterms:created>
  <dcterms:modified xsi:type="dcterms:W3CDTF">2026-05-04T12:09:38Z</dcterms:modified>
</cp:coreProperties>
</file>